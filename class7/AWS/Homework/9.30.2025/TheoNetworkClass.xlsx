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erica_cloud/Desktop/"/>
    </mc:Choice>
  </mc:AlternateContent>
  <xr:revisionPtr revIDLastSave="0" documentId="8_{30480B56-07E2-6D48-8898-F0438BCF6B78}" xr6:coauthVersionLast="47" xr6:coauthVersionMax="47" xr10:uidLastSave="{00000000-0000-0000-0000-000000000000}"/>
  <bookViews>
    <workbookView xWindow="56940" yWindow="3740" windowWidth="33140" windowHeight="22840" activeTab="1" xr2:uid="{9F2F8090-B36E-E44C-AAB1-8AAC911472CB}"/>
  </bookViews>
  <sheets>
    <sheet name="Sheet1" sheetId="1" r:id="rId1"/>
    <sheet name="Plann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1" l="1"/>
  <c r="O71" i="1"/>
  <c r="N71" i="1"/>
  <c r="O70" i="1"/>
  <c r="N29" i="1"/>
  <c r="D26" i="1"/>
  <c r="F27" i="1"/>
  <c r="E27" i="1"/>
  <c r="J24" i="1"/>
  <c r="I24" i="1"/>
  <c r="G24" i="1"/>
  <c r="E24" i="1"/>
</calcChain>
</file>

<file path=xl/sharedStrings.xml><?xml version="1.0" encoding="utf-8"?>
<sst xmlns="http://schemas.openxmlformats.org/spreadsheetml/2006/main" count="259" uniqueCount="82">
  <si>
    <t>Nothing</t>
  </si>
  <si>
    <t>ALL</t>
  </si>
  <si>
    <t>Position Values</t>
  </si>
  <si>
    <t>RFC 1918</t>
  </si>
  <si>
    <t>Class A</t>
  </si>
  <si>
    <t>Class C</t>
  </si>
  <si>
    <t>0-255</t>
  </si>
  <si>
    <t>10.32.15.9</t>
  </si>
  <si>
    <t>223.56.89.4</t>
  </si>
  <si>
    <t>11101111.00111000.01011001.00000100</t>
  </si>
  <si>
    <t>0-65,000,000</t>
  </si>
  <si>
    <t>Network</t>
  </si>
  <si>
    <t>Host</t>
  </si>
  <si>
    <t>Class B</t>
  </si>
  <si>
    <t>10.0.0.0</t>
  </si>
  <si>
    <t>172.16.0.0 - 172.31.255.255</t>
  </si>
  <si>
    <t>192.168.0.0</t>
  </si>
  <si>
    <t xml:space="preserve">Network </t>
  </si>
  <si>
    <t>/16</t>
  </si>
  <si>
    <t>Subnet</t>
  </si>
  <si>
    <r>
      <rPr>
        <b/>
        <sz val="12"/>
        <color theme="1"/>
        <rFont val="Aptos Narrow"/>
        <scheme val="minor"/>
      </rPr>
      <t>00001010.00000001.</t>
    </r>
    <r>
      <rPr>
        <sz val="12"/>
        <color theme="1"/>
        <rFont val="Aptos Narrow"/>
        <family val="2"/>
        <scheme val="minor"/>
      </rPr>
      <t>00000000.00000000 /</t>
    </r>
    <r>
      <rPr>
        <b/>
        <sz val="12"/>
        <color theme="1"/>
        <rFont val="Aptos Narrow"/>
        <scheme val="minor"/>
      </rPr>
      <t xml:space="preserve"> 11111111.11111111</t>
    </r>
    <r>
      <rPr>
        <sz val="12"/>
        <color theme="1"/>
        <rFont val="Aptos Narrow"/>
        <family val="2"/>
        <scheme val="minor"/>
      </rPr>
      <t>.00000000.00000000</t>
    </r>
  </si>
  <si>
    <r>
      <rPr>
        <b/>
        <sz val="12"/>
        <color theme="1"/>
        <rFont val="Aptos Narrow"/>
        <scheme val="minor"/>
      </rPr>
      <t>10.1</t>
    </r>
    <r>
      <rPr>
        <sz val="12"/>
        <color theme="1"/>
        <rFont val="Aptos Narrow"/>
        <family val="2"/>
        <scheme val="minor"/>
      </rPr>
      <t>.0.0</t>
    </r>
  </si>
  <si>
    <r>
      <rPr>
        <b/>
        <sz val="12"/>
        <color theme="1"/>
        <rFont val="Aptos Narrow"/>
        <scheme val="minor"/>
      </rPr>
      <t>10.2</t>
    </r>
    <r>
      <rPr>
        <sz val="12"/>
        <color theme="1"/>
        <rFont val="Aptos Narrow"/>
        <family val="2"/>
        <scheme val="minor"/>
      </rPr>
      <t>.0.0</t>
    </r>
  </si>
  <si>
    <t>/8</t>
  </si>
  <si>
    <r>
      <t>/</t>
    </r>
    <r>
      <rPr>
        <b/>
        <sz val="12"/>
        <color theme="1"/>
        <rFont val="Aptos Narrow"/>
        <scheme val="minor"/>
      </rPr>
      <t>11111111.</t>
    </r>
    <r>
      <rPr>
        <sz val="12"/>
        <color theme="1"/>
        <rFont val="Aptos Narrow"/>
        <family val="2"/>
        <scheme val="minor"/>
      </rPr>
      <t>00000000.00000000.00000000</t>
    </r>
  </si>
  <si>
    <t>/24</t>
  </si>
  <si>
    <t>/30</t>
  </si>
  <si>
    <t>/11111111.11111111.11111111.11111100</t>
  </si>
  <si>
    <t>/32</t>
  </si>
  <si>
    <t>/11111111.11111111.11111111.11111111</t>
  </si>
  <si>
    <r>
      <rPr>
        <b/>
        <sz val="12"/>
        <color theme="1"/>
        <rFont val="Aptos Narrow"/>
        <scheme val="minor"/>
      </rPr>
      <t>/11111111.11111111.11111111.</t>
    </r>
    <r>
      <rPr>
        <b/>
        <sz val="12"/>
        <color theme="9" tint="0.39997558519241921"/>
        <rFont val="Aptos Narrow (Body)"/>
      </rPr>
      <t>00000000</t>
    </r>
  </si>
  <si>
    <r>
      <rPr>
        <b/>
        <sz val="12"/>
        <color theme="1"/>
        <rFont val="Aptos Narrow"/>
        <scheme val="minor"/>
      </rPr>
      <t>192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1"/>
        <rFont val="Aptos Narrow"/>
        <scheme val="minor"/>
      </rPr>
      <t>168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1"/>
        <rFont val="Aptos Narrow"/>
        <scheme val="minor"/>
      </rPr>
      <t>8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9" tint="0.39997558519241921"/>
        <rFont val="Aptos Narrow (Body)"/>
      </rPr>
      <t>7</t>
    </r>
  </si>
  <si>
    <r>
      <rPr>
        <b/>
        <sz val="12"/>
        <color theme="1"/>
        <rFont val="Aptos Narrow"/>
        <scheme val="minor"/>
      </rPr>
      <t>192.168.55.</t>
    </r>
    <r>
      <rPr>
        <b/>
        <sz val="12"/>
        <color theme="9" tint="0.39997558519241921"/>
        <rFont val="Aptos Narrow (Body)"/>
      </rPr>
      <t>34</t>
    </r>
  </si>
  <si>
    <r>
      <rPr>
        <b/>
        <sz val="12"/>
        <color theme="1"/>
        <rFont val="Aptos Narrow"/>
        <scheme val="minor"/>
      </rPr>
      <t>10.97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9" tint="0.39997558519241921"/>
        <rFont val="Aptos Narrow (Body)"/>
      </rPr>
      <t>15.9</t>
    </r>
  </si>
  <si>
    <r>
      <t>/</t>
    </r>
    <r>
      <rPr>
        <b/>
        <sz val="12"/>
        <color theme="1"/>
        <rFont val="Aptos Narrow"/>
        <scheme val="minor"/>
      </rPr>
      <t xml:space="preserve"> 11111111.11111111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9" tint="0.39997558519241921"/>
        <rFont val="Aptos Narrow (Body)"/>
      </rPr>
      <t>00000000.00000000</t>
    </r>
  </si>
  <si>
    <r>
      <rPr>
        <b/>
        <sz val="12"/>
        <color theme="1"/>
        <rFont val="Aptos Narrow"/>
        <scheme val="minor"/>
      </rPr>
      <t>10.97</t>
    </r>
    <r>
      <rPr>
        <sz val="12"/>
        <color theme="1"/>
        <rFont val="Aptos Narrow"/>
        <family val="2"/>
        <scheme val="minor"/>
      </rPr>
      <t>.0.0</t>
    </r>
  </si>
  <si>
    <r>
      <rPr>
        <b/>
        <sz val="12"/>
        <color theme="1"/>
        <rFont val="Aptos Narrow"/>
        <scheme val="minor"/>
      </rPr>
      <t>10.24</t>
    </r>
    <r>
      <rPr>
        <sz val="12"/>
        <color theme="1"/>
        <rFont val="Aptos Narrow"/>
        <scheme val="minor"/>
      </rPr>
      <t>.0.0</t>
    </r>
  </si>
  <si>
    <t>255 = Network</t>
  </si>
  <si>
    <r>
      <t xml:space="preserve">/ </t>
    </r>
    <r>
      <rPr>
        <b/>
        <sz val="12"/>
        <color theme="1"/>
        <rFont val="Aptos Narrow"/>
        <scheme val="minor"/>
      </rPr>
      <t>11111111.11111111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9" tint="0.39997558519241921"/>
        <rFont val="Aptos Narrow (Body)"/>
      </rPr>
      <t>00000000.00000000</t>
    </r>
  </si>
  <si>
    <r>
      <rPr>
        <b/>
        <sz val="12"/>
        <color theme="1"/>
        <rFont val="Aptos Narrow"/>
        <scheme val="minor"/>
      </rPr>
      <t>10.15</t>
    </r>
    <r>
      <rPr>
        <sz val="12"/>
        <color theme="1"/>
        <rFont val="Aptos Narrow"/>
        <scheme val="minor"/>
      </rPr>
      <t>.</t>
    </r>
    <r>
      <rPr>
        <b/>
        <sz val="12"/>
        <color theme="9" tint="0.39997558519241921"/>
        <rFont val="Aptos Narrow (Body)"/>
      </rPr>
      <t>77.88</t>
    </r>
  </si>
  <si>
    <r>
      <t>/</t>
    </r>
    <r>
      <rPr>
        <b/>
        <sz val="12"/>
        <color theme="1"/>
        <rFont val="Aptos Narrow"/>
        <scheme val="minor"/>
      </rPr>
      <t>11111111.11111111.11111111</t>
    </r>
    <r>
      <rPr>
        <sz val="12"/>
        <color theme="1"/>
        <rFont val="Aptos Narrow"/>
        <family val="2"/>
        <scheme val="minor"/>
      </rPr>
      <t>.</t>
    </r>
    <r>
      <rPr>
        <b/>
        <sz val="12"/>
        <color theme="9" tint="0.39997558519241921"/>
        <rFont val="Aptos Narrow (Body)"/>
      </rPr>
      <t>00000000</t>
    </r>
  </si>
  <si>
    <r>
      <rPr>
        <b/>
        <sz val="12"/>
        <color theme="1"/>
        <rFont val="Aptos Narrow"/>
        <scheme val="minor"/>
      </rPr>
      <t>10.89.22</t>
    </r>
    <r>
      <rPr>
        <sz val="12"/>
        <color theme="1"/>
        <rFont val="Aptos Narrow"/>
        <scheme val="minor"/>
      </rPr>
      <t>.</t>
    </r>
    <r>
      <rPr>
        <b/>
        <sz val="12"/>
        <color theme="9" tint="0.39997558519241921"/>
        <rFont val="Aptos Narrow (Body)"/>
      </rPr>
      <t>19</t>
    </r>
  </si>
  <si>
    <t>Declare a Network</t>
  </si>
  <si>
    <t>10.22.0.0</t>
  </si>
  <si>
    <t>10.22.1.0</t>
  </si>
  <si>
    <t>Declare a SUBNETWORK</t>
  </si>
  <si>
    <t>10.22.2.0</t>
  </si>
  <si>
    <t>10.22.3.0</t>
  </si>
  <si>
    <t>Master Network</t>
  </si>
  <si>
    <t>Later</t>
  </si>
  <si>
    <t>Now</t>
  </si>
  <si>
    <t>Public</t>
  </si>
  <si>
    <t>A</t>
  </si>
  <si>
    <t>Zone</t>
  </si>
  <si>
    <t>B</t>
  </si>
  <si>
    <t>C</t>
  </si>
  <si>
    <t>D</t>
  </si>
  <si>
    <t>10.22.4.0</t>
  </si>
  <si>
    <t>Private Yet Kind of Public</t>
  </si>
  <si>
    <t>10.22.11.0</t>
  </si>
  <si>
    <t>10.22.12.0</t>
  </si>
  <si>
    <t>10.22.13.0</t>
  </si>
  <si>
    <t>10.22.14.0</t>
  </si>
  <si>
    <t>Private</t>
  </si>
  <si>
    <t>10.22.231.0</t>
  </si>
  <si>
    <t>10.22.232.0</t>
  </si>
  <si>
    <t>10.22.233.0</t>
  </si>
  <si>
    <t>10.22.234.0</t>
  </si>
  <si>
    <t>Private, keep Private: DATABASES</t>
  </si>
  <si>
    <t>NEVER USE 10.0.0.0</t>
  </si>
  <si>
    <t>NEVER USE Cloud Default values</t>
  </si>
  <si>
    <r>
      <t xml:space="preserve">/ </t>
    </r>
    <r>
      <rPr>
        <b/>
        <sz val="12"/>
        <color rgb="FF000000"/>
        <rFont val="Aptos Narrow"/>
        <scheme val="minor"/>
      </rPr>
      <t>11111111.11111111</t>
    </r>
    <r>
      <rPr>
        <sz val="12"/>
        <color rgb="FF000000"/>
        <rFont val="Aptos Narrow"/>
        <family val="2"/>
        <scheme val="minor"/>
      </rPr>
      <t>.</t>
    </r>
    <r>
      <rPr>
        <b/>
        <sz val="12"/>
        <color rgb="FF8ED973"/>
        <rFont val="Aptos Narrow"/>
        <scheme val="minor"/>
      </rPr>
      <t>00000000.00000000</t>
    </r>
  </si>
  <si>
    <r>
      <t>/</t>
    </r>
    <r>
      <rPr>
        <b/>
        <sz val="12"/>
        <color rgb="FF000000"/>
        <rFont val="Aptos Narrow"/>
        <scheme val="minor"/>
      </rPr>
      <t>11111111.11111111.11111111</t>
    </r>
    <r>
      <rPr>
        <sz val="12"/>
        <color rgb="FF000000"/>
        <rFont val="Aptos Narrow"/>
        <family val="2"/>
        <scheme val="minor"/>
      </rPr>
      <t>.</t>
    </r>
    <r>
      <rPr>
        <b/>
        <sz val="12"/>
        <color rgb="FF8ED973"/>
        <rFont val="Aptos Narrow"/>
        <scheme val="minor"/>
      </rPr>
      <t>00000000</t>
    </r>
  </si>
  <si>
    <t>Planning</t>
  </si>
  <si>
    <t>Unplanned</t>
  </si>
  <si>
    <t>10.22.5.0</t>
  </si>
  <si>
    <t>10.22.6.0</t>
  </si>
  <si>
    <t>10.22.7.0</t>
  </si>
  <si>
    <t>10.22.8.0</t>
  </si>
  <si>
    <t>US-East-1…..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</si>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</sst>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20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9" tint="0.39997558519241921"/>
      <name val="Aptos Narrow (Body)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8ED973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831B-5326-0148-BCD9-7C2893D6C74A}">
  <dimension ref="A2:O91"/>
  <sheetViews>
    <sheetView topLeftCell="A64" zoomScale="180" zoomScaleNormal="180" workbookViewId="0">
      <selection activeCell="B69" sqref="B69:F88"/>
    </sheetView>
  </sheetViews>
  <sheetFormatPr baseColWidth="10" defaultRowHeight="16" x14ac:dyDescent="0.2"/>
  <cols>
    <col min="2" max="2" width="20.6640625" customWidth="1"/>
    <col min="8" max="8" width="18.1640625" customWidth="1"/>
    <col min="9" max="9" width="11.83203125" customWidth="1"/>
    <col min="11" max="11" width="14" customWidth="1"/>
    <col min="14" max="14" width="13.5" customWidth="1"/>
  </cols>
  <sheetData>
    <row r="2" spans="1:13" x14ac:dyDescent="0.2">
      <c r="E2">
        <v>0</v>
      </c>
      <c r="F2" t="s">
        <v>0</v>
      </c>
    </row>
    <row r="3" spans="1:13" x14ac:dyDescent="0.2">
      <c r="E3">
        <v>1</v>
      </c>
      <c r="F3" t="s">
        <v>1</v>
      </c>
    </row>
    <row r="7" spans="1:13" s="1" customFormat="1" ht="27" x14ac:dyDescent="0.35">
      <c r="A7" s="1" t="s">
        <v>2</v>
      </c>
      <c r="E7" s="1">
        <v>128</v>
      </c>
      <c r="F7" s="1">
        <v>64</v>
      </c>
      <c r="G7" s="1">
        <v>32</v>
      </c>
      <c r="H7" s="1">
        <v>16</v>
      </c>
      <c r="I7" s="1">
        <v>8</v>
      </c>
      <c r="J7" s="1">
        <v>4</v>
      </c>
      <c r="K7" s="1">
        <v>2</v>
      </c>
      <c r="L7" s="1">
        <v>1</v>
      </c>
    </row>
    <row r="8" spans="1:13" x14ac:dyDescent="0.2"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6</v>
      </c>
    </row>
    <row r="9" spans="1:13" x14ac:dyDescent="0.2"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100</v>
      </c>
    </row>
    <row r="10" spans="1:13" x14ac:dyDescent="0.2"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55</v>
      </c>
    </row>
    <row r="11" spans="1:13" x14ac:dyDescent="0.2"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11</v>
      </c>
    </row>
    <row r="12" spans="1:13" x14ac:dyDescent="0.2"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192</v>
      </c>
    </row>
    <row r="13" spans="1:13" x14ac:dyDescent="0.2"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127</v>
      </c>
    </row>
    <row r="14" spans="1:13" x14ac:dyDescent="0.2">
      <c r="A14" t="s">
        <v>3</v>
      </c>
    </row>
    <row r="15" spans="1:13" x14ac:dyDescent="0.2">
      <c r="A15" t="s">
        <v>4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127</v>
      </c>
    </row>
    <row r="16" spans="1:13" x14ac:dyDescent="0.2"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128</v>
      </c>
    </row>
    <row r="17" spans="1:14" x14ac:dyDescent="0.2">
      <c r="A17" t="s">
        <v>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192</v>
      </c>
    </row>
    <row r="18" spans="1:14" x14ac:dyDescent="0.2"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224</v>
      </c>
    </row>
    <row r="20" spans="1:14" x14ac:dyDescent="0.2"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197</v>
      </c>
    </row>
    <row r="21" spans="1:14" x14ac:dyDescent="0.2"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226</v>
      </c>
    </row>
    <row r="23" spans="1:14" x14ac:dyDescent="0.2">
      <c r="E23">
        <v>1</v>
      </c>
      <c r="F23">
        <v>0</v>
      </c>
      <c r="G23">
        <v>1</v>
      </c>
      <c r="H23">
        <v>0</v>
      </c>
      <c r="I23">
        <v>1</v>
      </c>
      <c r="J23">
        <v>1</v>
      </c>
      <c r="K23">
        <v>0</v>
      </c>
      <c r="L23">
        <v>0</v>
      </c>
      <c r="M23">
        <v>172</v>
      </c>
    </row>
    <row r="24" spans="1:14" x14ac:dyDescent="0.2">
      <c r="E24">
        <f>172-128</f>
        <v>44</v>
      </c>
      <c r="G24">
        <f>44-32</f>
        <v>12</v>
      </c>
      <c r="I24">
        <f>12-8</f>
        <v>4</v>
      </c>
      <c r="J24">
        <f>4-4</f>
        <v>0</v>
      </c>
    </row>
    <row r="25" spans="1:14" x14ac:dyDescent="0.2"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99</v>
      </c>
    </row>
    <row r="26" spans="1:14" x14ac:dyDescent="0.2">
      <c r="D26">
        <f>128+64+16+8</f>
        <v>216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216</v>
      </c>
    </row>
    <row r="27" spans="1:14" x14ac:dyDescent="0.2">
      <c r="D27">
        <v>216</v>
      </c>
      <c r="E27">
        <f>216-128</f>
        <v>88</v>
      </c>
      <c r="F27">
        <f>88-64</f>
        <v>24</v>
      </c>
      <c r="G27">
        <v>0</v>
      </c>
    </row>
    <row r="28" spans="1:14" x14ac:dyDescent="0.2">
      <c r="E28">
        <v>192</v>
      </c>
    </row>
    <row r="29" spans="1:14" x14ac:dyDescent="0.2"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255</v>
      </c>
      <c r="N29">
        <f>128+64+32+16+8+4+2+1</f>
        <v>255</v>
      </c>
    </row>
    <row r="30" spans="1:14" x14ac:dyDescent="0.2"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6</v>
      </c>
    </row>
    <row r="32" spans="1:14" x14ac:dyDescent="0.2">
      <c r="E32">
        <v>1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158</v>
      </c>
    </row>
    <row r="33" spans="5:13" x14ac:dyDescent="0.2">
      <c r="E33">
        <v>0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94</v>
      </c>
    </row>
    <row r="34" spans="5:13" x14ac:dyDescent="0.2"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200</v>
      </c>
    </row>
    <row r="35" spans="5:13" x14ac:dyDescent="0.2">
      <c r="E35">
        <v>1</v>
      </c>
      <c r="F35">
        <v>0</v>
      </c>
      <c r="G35">
        <v>1</v>
      </c>
      <c r="H35">
        <v>1</v>
      </c>
      <c r="I35">
        <v>0</v>
      </c>
      <c r="J35">
        <v>0</v>
      </c>
      <c r="K35">
        <v>1</v>
      </c>
      <c r="L35">
        <v>0</v>
      </c>
      <c r="M35">
        <v>178</v>
      </c>
    </row>
    <row r="36" spans="5:13" x14ac:dyDescent="0.2"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223</v>
      </c>
    </row>
    <row r="38" spans="5:13" x14ac:dyDescent="0.2">
      <c r="E38" t="s">
        <v>7</v>
      </c>
    </row>
    <row r="40" spans="5:13" ht="27" x14ac:dyDescent="0.35">
      <c r="E40" s="1">
        <v>128</v>
      </c>
      <c r="F40" s="1">
        <v>64</v>
      </c>
      <c r="G40" s="1">
        <v>32</v>
      </c>
      <c r="H40" s="1">
        <v>16</v>
      </c>
      <c r="I40" s="1">
        <v>8</v>
      </c>
      <c r="J40" s="1">
        <v>4</v>
      </c>
      <c r="K40" s="1">
        <v>2</v>
      </c>
      <c r="L40" s="1">
        <v>1</v>
      </c>
    </row>
    <row r="41" spans="5:13" x14ac:dyDescent="0.2"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10</v>
      </c>
    </row>
    <row r="42" spans="5:13" x14ac:dyDescent="0.2"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32</v>
      </c>
    </row>
    <row r="43" spans="5:13" x14ac:dyDescent="0.2"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15</v>
      </c>
    </row>
    <row r="44" spans="5:13" x14ac:dyDescent="0.2"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9</v>
      </c>
    </row>
    <row r="46" spans="5:13" x14ac:dyDescent="0.2">
      <c r="E46" t="s">
        <v>8</v>
      </c>
    </row>
    <row r="47" spans="5:13" ht="27" x14ac:dyDescent="0.35">
      <c r="E47" s="1">
        <v>128</v>
      </c>
      <c r="F47" s="1">
        <v>64</v>
      </c>
      <c r="G47" s="1">
        <v>32</v>
      </c>
      <c r="H47" s="1">
        <v>16</v>
      </c>
      <c r="I47" s="1">
        <v>8</v>
      </c>
      <c r="J47" s="1">
        <v>4</v>
      </c>
      <c r="K47" s="1">
        <v>2</v>
      </c>
      <c r="L47" s="1">
        <v>1</v>
      </c>
    </row>
    <row r="48" spans="5:13" x14ac:dyDescent="0.2"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223</v>
      </c>
    </row>
    <row r="49" spans="5:15" x14ac:dyDescent="0.2"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56</v>
      </c>
    </row>
    <row r="50" spans="5:15" x14ac:dyDescent="0.2"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1</v>
      </c>
      <c r="M50">
        <v>89</v>
      </c>
    </row>
    <row r="51" spans="5:15" x14ac:dyDescent="0.2"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4</v>
      </c>
    </row>
    <row r="54" spans="5:15" x14ac:dyDescent="0.2">
      <c r="E54" s="2" t="s">
        <v>9</v>
      </c>
      <c r="F54" s="2"/>
      <c r="G54" s="2"/>
      <c r="H54" s="2"/>
      <c r="I54" s="2"/>
      <c r="J54" s="2"/>
      <c r="K54" s="2"/>
      <c r="L54" s="2"/>
    </row>
    <row r="55" spans="5:15" x14ac:dyDescent="0.2">
      <c r="H55" t="s">
        <v>3</v>
      </c>
      <c r="I55" t="s">
        <v>4</v>
      </c>
      <c r="J55" t="s">
        <v>14</v>
      </c>
    </row>
    <row r="56" spans="5:15" x14ac:dyDescent="0.2">
      <c r="E56" t="s">
        <v>10</v>
      </c>
      <c r="I56" t="s">
        <v>13</v>
      </c>
      <c r="J56" t="s">
        <v>15</v>
      </c>
    </row>
    <row r="57" spans="5:15" x14ac:dyDescent="0.2">
      <c r="I57" t="s">
        <v>5</v>
      </c>
      <c r="J57" t="s">
        <v>16</v>
      </c>
    </row>
    <row r="58" spans="5:15" x14ac:dyDescent="0.2">
      <c r="E58" t="s">
        <v>11</v>
      </c>
      <c r="F58" t="s">
        <v>12</v>
      </c>
      <c r="G58" t="s">
        <v>8</v>
      </c>
    </row>
    <row r="59" spans="5:15" x14ac:dyDescent="0.2">
      <c r="I59" t="s">
        <v>17</v>
      </c>
      <c r="J59" t="s">
        <v>19</v>
      </c>
    </row>
    <row r="60" spans="5:15" x14ac:dyDescent="0.2">
      <c r="I60" s="5" t="s">
        <v>21</v>
      </c>
      <c r="J60" t="s">
        <v>18</v>
      </c>
    </row>
    <row r="62" spans="5:15" x14ac:dyDescent="0.2">
      <c r="I62" s="4" t="s">
        <v>20</v>
      </c>
      <c r="J62" s="3"/>
      <c r="K62" s="3"/>
      <c r="L62" s="3"/>
      <c r="M62" s="3"/>
      <c r="N62" s="3"/>
      <c r="O62" s="3"/>
    </row>
    <row r="65" spans="1:15" x14ac:dyDescent="0.2">
      <c r="I65" t="s">
        <v>17</v>
      </c>
      <c r="J65" t="s">
        <v>19</v>
      </c>
    </row>
    <row r="66" spans="1:15" x14ac:dyDescent="0.2">
      <c r="C66" t="s">
        <v>53</v>
      </c>
      <c r="I66" s="5" t="s">
        <v>21</v>
      </c>
      <c r="J66" t="s">
        <v>18</v>
      </c>
    </row>
    <row r="67" spans="1:15" x14ac:dyDescent="0.2">
      <c r="D67" t="s">
        <v>48</v>
      </c>
      <c r="I67" s="5" t="s">
        <v>22</v>
      </c>
      <c r="J67" t="s">
        <v>18</v>
      </c>
    </row>
    <row r="68" spans="1:15" x14ac:dyDescent="0.2">
      <c r="A68" t="s">
        <v>49</v>
      </c>
      <c r="D68" t="s">
        <v>14</v>
      </c>
      <c r="E68" t="s">
        <v>23</v>
      </c>
      <c r="F68" t="s">
        <v>24</v>
      </c>
      <c r="I68" s="5"/>
    </row>
    <row r="69" spans="1:15" x14ac:dyDescent="0.2">
      <c r="D69" t="s">
        <v>42</v>
      </c>
      <c r="I69" s="5"/>
    </row>
    <row r="70" spans="1:15" x14ac:dyDescent="0.2">
      <c r="A70" t="s">
        <v>50</v>
      </c>
      <c r="D70" t="s">
        <v>43</v>
      </c>
      <c r="E70" t="s">
        <v>18</v>
      </c>
      <c r="F70" t="s">
        <v>38</v>
      </c>
      <c r="I70" s="5" t="s">
        <v>14</v>
      </c>
      <c r="J70" t="s">
        <v>23</v>
      </c>
      <c r="K70" t="s">
        <v>24</v>
      </c>
      <c r="N70" t="s">
        <v>37</v>
      </c>
      <c r="O70">
        <f>255*255*255</f>
        <v>16581375</v>
      </c>
    </row>
    <row r="71" spans="1:15" x14ac:dyDescent="0.2">
      <c r="D71" t="s">
        <v>45</v>
      </c>
      <c r="I71" s="5" t="s">
        <v>39</v>
      </c>
      <c r="J71" t="s">
        <v>18</v>
      </c>
      <c r="K71" t="s">
        <v>38</v>
      </c>
      <c r="N71">
        <f>255*255</f>
        <v>65025</v>
      </c>
      <c r="O71">
        <f>255*255</f>
        <v>65025</v>
      </c>
    </row>
    <row r="72" spans="1:15" x14ac:dyDescent="0.2">
      <c r="A72" t="s">
        <v>50</v>
      </c>
      <c r="B72" t="s">
        <v>51</v>
      </c>
      <c r="C72" t="s">
        <v>52</v>
      </c>
      <c r="D72" t="s">
        <v>44</v>
      </c>
      <c r="E72" t="s">
        <v>25</v>
      </c>
      <c r="F72" t="s">
        <v>40</v>
      </c>
      <c r="I72" s="5" t="s">
        <v>41</v>
      </c>
      <c r="J72" t="s">
        <v>25</v>
      </c>
      <c r="K72" t="s">
        <v>40</v>
      </c>
      <c r="N72">
        <f>255*255*255</f>
        <v>16581375</v>
      </c>
      <c r="O72">
        <v>255</v>
      </c>
    </row>
    <row r="73" spans="1:15" x14ac:dyDescent="0.2">
      <c r="A73" t="s">
        <v>50</v>
      </c>
      <c r="B73" t="s">
        <v>51</v>
      </c>
      <c r="C73" t="s">
        <v>54</v>
      </c>
      <c r="D73" t="s">
        <v>46</v>
      </c>
      <c r="E73" t="s">
        <v>25</v>
      </c>
      <c r="F73" t="s">
        <v>40</v>
      </c>
      <c r="J73" t="s">
        <v>26</v>
      </c>
      <c r="K73" t="s">
        <v>27</v>
      </c>
    </row>
    <row r="74" spans="1:15" x14ac:dyDescent="0.2">
      <c r="A74" t="s">
        <v>50</v>
      </c>
      <c r="B74" t="s">
        <v>51</v>
      </c>
      <c r="C74" t="s">
        <v>55</v>
      </c>
      <c r="D74" s="7" t="s">
        <v>47</v>
      </c>
      <c r="E74" s="7" t="s">
        <v>25</v>
      </c>
      <c r="F74" t="s">
        <v>40</v>
      </c>
      <c r="J74" t="s">
        <v>28</v>
      </c>
      <c r="K74" t="s">
        <v>29</v>
      </c>
    </row>
    <row r="75" spans="1:15" x14ac:dyDescent="0.2">
      <c r="A75" t="s">
        <v>50</v>
      </c>
      <c r="B75" t="s">
        <v>51</v>
      </c>
      <c r="C75" t="s">
        <v>56</v>
      </c>
      <c r="D75" s="7" t="s">
        <v>57</v>
      </c>
      <c r="E75" s="7" t="s">
        <v>25</v>
      </c>
      <c r="F75" t="s">
        <v>40</v>
      </c>
    </row>
    <row r="76" spans="1:15" x14ac:dyDescent="0.2">
      <c r="I76" s="5" t="s">
        <v>31</v>
      </c>
      <c r="J76" t="s">
        <v>25</v>
      </c>
      <c r="K76" s="6" t="s">
        <v>30</v>
      </c>
    </row>
    <row r="77" spans="1:15" x14ac:dyDescent="0.2">
      <c r="I77" s="6" t="s">
        <v>32</v>
      </c>
      <c r="J77" t="s">
        <v>25</v>
      </c>
      <c r="K77" s="6" t="s">
        <v>30</v>
      </c>
    </row>
    <row r="78" spans="1:15" x14ac:dyDescent="0.2">
      <c r="B78" t="s">
        <v>58</v>
      </c>
      <c r="I78" s="5" t="s">
        <v>33</v>
      </c>
      <c r="J78" t="s">
        <v>18</v>
      </c>
      <c r="K78" t="s">
        <v>34</v>
      </c>
    </row>
    <row r="79" spans="1:15" x14ac:dyDescent="0.2">
      <c r="A79" t="s">
        <v>50</v>
      </c>
      <c r="B79" t="s">
        <v>63</v>
      </c>
      <c r="C79" t="s">
        <v>52</v>
      </c>
      <c r="D79" t="s">
        <v>59</v>
      </c>
      <c r="E79" t="s">
        <v>25</v>
      </c>
      <c r="F79" t="s">
        <v>40</v>
      </c>
    </row>
    <row r="80" spans="1:15" x14ac:dyDescent="0.2">
      <c r="A80" t="s">
        <v>50</v>
      </c>
      <c r="B80" t="s">
        <v>63</v>
      </c>
      <c r="C80" t="s">
        <v>54</v>
      </c>
      <c r="D80" t="s">
        <v>60</v>
      </c>
      <c r="E80" t="s">
        <v>25</v>
      </c>
      <c r="F80" t="s">
        <v>40</v>
      </c>
      <c r="I80" s="5" t="s">
        <v>35</v>
      </c>
      <c r="J80" t="s">
        <v>18</v>
      </c>
    </row>
    <row r="81" spans="1:10" x14ac:dyDescent="0.2">
      <c r="A81" t="s">
        <v>50</v>
      </c>
      <c r="B81" t="s">
        <v>63</v>
      </c>
      <c r="C81" t="s">
        <v>55</v>
      </c>
      <c r="D81" s="7" t="s">
        <v>61</v>
      </c>
      <c r="E81" s="7" t="s">
        <v>25</v>
      </c>
      <c r="F81" t="s">
        <v>40</v>
      </c>
      <c r="I81" s="5" t="s">
        <v>36</v>
      </c>
      <c r="J81" t="s">
        <v>18</v>
      </c>
    </row>
    <row r="82" spans="1:10" x14ac:dyDescent="0.2">
      <c r="A82" t="s">
        <v>50</v>
      </c>
      <c r="B82" t="s">
        <v>63</v>
      </c>
      <c r="C82" t="s">
        <v>56</v>
      </c>
      <c r="D82" s="7" t="s">
        <v>62</v>
      </c>
      <c r="E82" s="7" t="s">
        <v>25</v>
      </c>
      <c r="F82" t="s">
        <v>40</v>
      </c>
    </row>
    <row r="84" spans="1:10" x14ac:dyDescent="0.2">
      <c r="B84" t="s">
        <v>68</v>
      </c>
    </row>
    <row r="85" spans="1:10" x14ac:dyDescent="0.2">
      <c r="A85" t="s">
        <v>50</v>
      </c>
      <c r="B85" t="s">
        <v>63</v>
      </c>
      <c r="C85" t="s">
        <v>52</v>
      </c>
      <c r="D85" t="s">
        <v>64</v>
      </c>
      <c r="E85" t="s">
        <v>25</v>
      </c>
      <c r="F85" t="s">
        <v>40</v>
      </c>
    </row>
    <row r="86" spans="1:10" x14ac:dyDescent="0.2">
      <c r="A86" t="s">
        <v>50</v>
      </c>
      <c r="B86" t="s">
        <v>63</v>
      </c>
      <c r="C86" t="s">
        <v>54</v>
      </c>
      <c r="D86" t="s">
        <v>65</v>
      </c>
      <c r="E86" t="s">
        <v>25</v>
      </c>
      <c r="F86" t="s">
        <v>40</v>
      </c>
    </row>
    <row r="87" spans="1:10" x14ac:dyDescent="0.2">
      <c r="A87" t="s">
        <v>50</v>
      </c>
      <c r="B87" t="s">
        <v>63</v>
      </c>
      <c r="C87" t="s">
        <v>55</v>
      </c>
      <c r="D87" s="7" t="s">
        <v>66</v>
      </c>
      <c r="E87" s="7" t="s">
        <v>25</v>
      </c>
      <c r="F87" t="s">
        <v>40</v>
      </c>
    </row>
    <row r="88" spans="1:10" x14ac:dyDescent="0.2">
      <c r="A88" t="s">
        <v>50</v>
      </c>
      <c r="B88" t="s">
        <v>63</v>
      </c>
      <c r="C88" t="s">
        <v>56</v>
      </c>
      <c r="D88" s="7" t="s">
        <v>67</v>
      </c>
      <c r="E88" s="7" t="s">
        <v>25</v>
      </c>
      <c r="F88" t="s">
        <v>40</v>
      </c>
    </row>
    <row r="90" spans="1:10" x14ac:dyDescent="0.2">
      <c r="B90" s="6" t="s">
        <v>69</v>
      </c>
    </row>
    <row r="91" spans="1:10" x14ac:dyDescent="0.2">
      <c r="B91" s="6" t="s">
        <v>70</v>
      </c>
    </row>
  </sheetData>
  <mergeCells count="2">
    <mergeCell ref="E54:L54"/>
    <mergeCell ref="I62:O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BA65-655B-D343-A612-784BD56E4512}">
  <dimension ref="B12:H45"/>
  <sheetViews>
    <sheetView tabSelected="1" topLeftCell="A9" zoomScale="180" zoomScaleNormal="180" workbookViewId="0">
      <selection activeCell="G31" sqref="G31"/>
    </sheetView>
  </sheetViews>
  <sheetFormatPr baseColWidth="10" defaultRowHeight="16" x14ac:dyDescent="0.2"/>
  <cols>
    <col min="2" max="2" width="17.1640625" customWidth="1"/>
  </cols>
  <sheetData>
    <row r="12" spans="4:8" x14ac:dyDescent="0.2">
      <c r="D12" t="s">
        <v>73</v>
      </c>
    </row>
    <row r="13" spans="4:8" x14ac:dyDescent="0.2">
      <c r="D13" s="7"/>
      <c r="E13" s="7"/>
      <c r="F13" s="7" t="s">
        <v>42</v>
      </c>
      <c r="G13" s="7"/>
      <c r="H13" s="7"/>
    </row>
    <row r="14" spans="4:8" x14ac:dyDescent="0.2">
      <c r="D14" s="7"/>
      <c r="E14" s="7"/>
      <c r="F14" s="7" t="s">
        <v>43</v>
      </c>
      <c r="G14" s="7" t="s">
        <v>18</v>
      </c>
      <c r="H14" s="7" t="s">
        <v>71</v>
      </c>
    </row>
    <row r="15" spans="4:8" x14ac:dyDescent="0.2">
      <c r="D15" s="7"/>
      <c r="E15" s="7"/>
      <c r="F15" s="7" t="s">
        <v>45</v>
      </c>
      <c r="G15" s="7"/>
      <c r="H15" s="7"/>
    </row>
    <row r="16" spans="4:8" x14ac:dyDescent="0.2">
      <c r="D16" s="7" t="s">
        <v>51</v>
      </c>
      <c r="E16" s="7" t="s">
        <v>52</v>
      </c>
      <c r="F16" s="7" t="s">
        <v>44</v>
      </c>
      <c r="G16" s="7" t="s">
        <v>25</v>
      </c>
      <c r="H16" s="7" t="s">
        <v>72</v>
      </c>
    </row>
    <row r="17" spans="4:8" x14ac:dyDescent="0.2">
      <c r="D17" s="7" t="s">
        <v>51</v>
      </c>
      <c r="E17" s="7" t="s">
        <v>54</v>
      </c>
      <c r="F17" s="7" t="s">
        <v>46</v>
      </c>
      <c r="G17" s="7" t="s">
        <v>25</v>
      </c>
      <c r="H17" s="7" t="s">
        <v>72</v>
      </c>
    </row>
    <row r="18" spans="4:8" x14ac:dyDescent="0.2">
      <c r="D18" s="7" t="s">
        <v>51</v>
      </c>
      <c r="E18" s="7" t="s">
        <v>55</v>
      </c>
      <c r="F18" s="7" t="s">
        <v>47</v>
      </c>
      <c r="G18" s="7" t="s">
        <v>25</v>
      </c>
      <c r="H18" s="7" t="s">
        <v>72</v>
      </c>
    </row>
    <row r="19" spans="4:8" x14ac:dyDescent="0.2">
      <c r="D19" s="7" t="s">
        <v>51</v>
      </c>
      <c r="E19" s="7" t="s">
        <v>56</v>
      </c>
      <c r="F19" s="7" t="s">
        <v>57</v>
      </c>
      <c r="G19" s="7" t="s">
        <v>25</v>
      </c>
      <c r="H19" s="7" t="s">
        <v>72</v>
      </c>
    </row>
    <row r="20" spans="4:8" x14ac:dyDescent="0.2">
      <c r="D20" s="7" t="s">
        <v>51</v>
      </c>
      <c r="E20" s="7" t="s">
        <v>80</v>
      </c>
      <c r="F20" s="7" t="s">
        <v>75</v>
      </c>
      <c r="G20" s="7" t="s">
        <v>25</v>
      </c>
      <c r="H20" s="7" t="s">
        <v>72</v>
      </c>
    </row>
    <row r="21" spans="4:8" x14ac:dyDescent="0.2">
      <c r="D21" s="7" t="s">
        <v>51</v>
      </c>
      <c r="E21" s="7" t="s">
        <v>81</v>
      </c>
      <c r="F21" s="7" t="s">
        <v>76</v>
      </c>
      <c r="G21" s="7" t="s">
        <v>25</v>
      </c>
      <c r="H21" s="7" t="s">
        <v>72</v>
      </c>
    </row>
    <row r="22" spans="4:8" x14ac:dyDescent="0.2">
      <c r="D22" s="7"/>
      <c r="E22" s="7"/>
      <c r="F22" s="7"/>
      <c r="G22" s="7"/>
      <c r="H22" s="7"/>
    </row>
    <row r="23" spans="4:8" x14ac:dyDescent="0.2">
      <c r="D23" s="7"/>
      <c r="E23" s="7"/>
      <c r="F23" s="7"/>
      <c r="G23" s="7"/>
      <c r="H23" s="7"/>
    </row>
    <row r="24" spans="4:8" x14ac:dyDescent="0.2">
      <c r="D24" s="7" t="s">
        <v>58</v>
      </c>
      <c r="E24" s="7"/>
      <c r="F24" s="7"/>
      <c r="G24" s="7"/>
      <c r="H24" s="7"/>
    </row>
    <row r="25" spans="4:8" x14ac:dyDescent="0.2">
      <c r="D25" s="7" t="s">
        <v>63</v>
      </c>
      <c r="E25" s="7" t="s">
        <v>52</v>
      </c>
      <c r="F25" s="7" t="s">
        <v>59</v>
      </c>
      <c r="G25" s="7" t="s">
        <v>25</v>
      </c>
      <c r="H25" s="7" t="s">
        <v>72</v>
      </c>
    </row>
    <row r="26" spans="4:8" x14ac:dyDescent="0.2">
      <c r="D26" s="7" t="s">
        <v>63</v>
      </c>
      <c r="E26" s="7" t="s">
        <v>54</v>
      </c>
      <c r="F26" s="7" t="s">
        <v>60</v>
      </c>
      <c r="G26" s="7" t="s">
        <v>25</v>
      </c>
      <c r="H26" s="7" t="s">
        <v>72</v>
      </c>
    </row>
    <row r="27" spans="4:8" x14ac:dyDescent="0.2">
      <c r="D27" s="7" t="s">
        <v>63</v>
      </c>
      <c r="E27" s="7" t="s">
        <v>55</v>
      </c>
      <c r="F27" s="7" t="s">
        <v>61</v>
      </c>
      <c r="G27" s="7" t="s">
        <v>25</v>
      </c>
      <c r="H27" s="7" t="s">
        <v>72</v>
      </c>
    </row>
    <row r="28" spans="4:8" x14ac:dyDescent="0.2">
      <c r="D28" s="7" t="s">
        <v>63</v>
      </c>
      <c r="E28" s="7" t="s">
        <v>56</v>
      </c>
      <c r="F28" s="7" t="s">
        <v>62</v>
      </c>
      <c r="G28" s="7" t="s">
        <v>25</v>
      </c>
      <c r="H28" s="7" t="s">
        <v>72</v>
      </c>
    </row>
    <row r="29" spans="4:8" x14ac:dyDescent="0.2">
      <c r="D29" s="7"/>
      <c r="E29" s="7"/>
      <c r="F29" s="7"/>
      <c r="G29" s="7"/>
      <c r="H29" s="7"/>
    </row>
    <row r="30" spans="4:8" x14ac:dyDescent="0.2">
      <c r="D30" s="7" t="s">
        <v>68</v>
      </c>
      <c r="E30" s="7"/>
      <c r="F30" s="7"/>
      <c r="G30" s="7"/>
      <c r="H30" s="7"/>
    </row>
    <row r="31" spans="4:8" x14ac:dyDescent="0.2">
      <c r="D31" s="7" t="s">
        <v>63</v>
      </c>
      <c r="E31" s="7" t="s">
        <v>52</v>
      </c>
      <c r="F31" s="7" t="s">
        <v>64</v>
      </c>
      <c r="G31" s="7" t="s">
        <v>25</v>
      </c>
      <c r="H31" s="7" t="s">
        <v>72</v>
      </c>
    </row>
    <row r="32" spans="4:8" x14ac:dyDescent="0.2">
      <c r="D32" s="7" t="s">
        <v>63</v>
      </c>
      <c r="E32" s="7" t="s">
        <v>54</v>
      </c>
      <c r="F32" s="7" t="s">
        <v>65</v>
      </c>
      <c r="G32" s="7" t="s">
        <v>25</v>
      </c>
      <c r="H32" s="7" t="s">
        <v>72</v>
      </c>
    </row>
    <row r="33" spans="2:8" x14ac:dyDescent="0.2">
      <c r="D33" s="7" t="s">
        <v>63</v>
      </c>
      <c r="E33" s="7" t="s">
        <v>55</v>
      </c>
      <c r="F33" s="7" t="s">
        <v>66</v>
      </c>
      <c r="G33" s="7" t="s">
        <v>25</v>
      </c>
      <c r="H33" s="7" t="s">
        <v>72</v>
      </c>
    </row>
    <row r="34" spans="2:8" x14ac:dyDescent="0.2">
      <c r="D34" s="7" t="s">
        <v>63</v>
      </c>
      <c r="E34" s="7" t="s">
        <v>56</v>
      </c>
      <c r="F34" s="7" t="s">
        <v>67</v>
      </c>
      <c r="G34" s="7" t="s">
        <v>25</v>
      </c>
      <c r="H34" s="7" t="s">
        <v>72</v>
      </c>
    </row>
    <row r="36" spans="2:8" ht="27" x14ac:dyDescent="0.35">
      <c r="B36" s="8" t="s">
        <v>79</v>
      </c>
    </row>
    <row r="37" spans="2:8" x14ac:dyDescent="0.2">
      <c r="D37" s="7" t="s">
        <v>74</v>
      </c>
    </row>
    <row r="38" spans="2:8" x14ac:dyDescent="0.2">
      <c r="D38" s="7" t="s">
        <v>51</v>
      </c>
      <c r="E38" s="7" t="s">
        <v>52</v>
      </c>
      <c r="F38" s="7" t="s">
        <v>44</v>
      </c>
      <c r="G38" s="7" t="s">
        <v>25</v>
      </c>
    </row>
    <row r="39" spans="2:8" x14ac:dyDescent="0.2">
      <c r="D39" s="7" t="s">
        <v>51</v>
      </c>
      <c r="E39" s="7" t="s">
        <v>54</v>
      </c>
      <c r="F39" s="7" t="s">
        <v>46</v>
      </c>
      <c r="G39" s="7" t="s">
        <v>25</v>
      </c>
    </row>
    <row r="40" spans="2:8" x14ac:dyDescent="0.2">
      <c r="D40" s="7" t="s">
        <v>51</v>
      </c>
      <c r="E40" s="7" t="s">
        <v>55</v>
      </c>
      <c r="F40" s="7" t="s">
        <v>47</v>
      </c>
      <c r="G40" s="7" t="s">
        <v>25</v>
      </c>
    </row>
    <row r="41" spans="2:8" x14ac:dyDescent="0.2">
      <c r="D41" s="7" t="s">
        <v>51</v>
      </c>
      <c r="E41" s="7" t="s">
        <v>56</v>
      </c>
      <c r="F41" s="7" t="s">
        <v>57</v>
      </c>
      <c r="G41" s="7" t="s">
        <v>25</v>
      </c>
    </row>
    <row r="42" spans="2:8" x14ac:dyDescent="0.2">
      <c r="D42" s="7" t="s">
        <v>63</v>
      </c>
      <c r="E42" s="7" t="s">
        <v>52</v>
      </c>
      <c r="F42" s="7" t="s">
        <v>75</v>
      </c>
      <c r="G42" s="7" t="s">
        <v>25</v>
      </c>
    </row>
    <row r="43" spans="2:8" x14ac:dyDescent="0.2">
      <c r="D43" s="7" t="s">
        <v>63</v>
      </c>
      <c r="E43" s="7" t="s">
        <v>54</v>
      </c>
      <c r="F43" s="7" t="s">
        <v>76</v>
      </c>
      <c r="G43" s="7" t="s">
        <v>25</v>
      </c>
    </row>
    <row r="44" spans="2:8" x14ac:dyDescent="0.2">
      <c r="D44" s="7" t="s">
        <v>63</v>
      </c>
      <c r="E44" s="7" t="s">
        <v>55</v>
      </c>
      <c r="F44" s="7" t="s">
        <v>77</v>
      </c>
      <c r="G44" s="7" t="s">
        <v>25</v>
      </c>
    </row>
    <row r="45" spans="2:8" x14ac:dyDescent="0.2">
      <c r="D45" s="7" t="s">
        <v>63</v>
      </c>
      <c r="E45" s="7" t="s">
        <v>56</v>
      </c>
      <c r="F45" s="7" t="s">
        <v>78</v>
      </c>
      <c r="G45" s="7" t="s">
        <v>25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Mookie WAF</dc:creator>
  <cp:lastModifiedBy>Mookie WAF</cp:lastModifiedBy>
  <dcterms:created xsi:type="dcterms:W3CDTF">2025-10-04T00:13:58Z</dcterms:created>
  <dcterms:modified xsi:type="dcterms:W3CDTF">2025-10-04T03:03:14Z</dcterms:modified>
</cp:coreProperties>
</file>